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che\Downloads\Module 2 VBA\"/>
    </mc:Choice>
  </mc:AlternateContent>
  <xr:revisionPtr revIDLastSave="0" documentId="8_{8E933EF4-A0B5-4652-B27D-8C88BB39B4FE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  <sheet name="Alt Formula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/>
  <c r="D12" i="5" s="1"/>
  <c r="A12" i="5"/>
  <c r="B12" i="5" s="1"/>
  <c r="C11" i="5"/>
  <c r="D11" i="5" s="1"/>
  <c r="A11" i="5"/>
  <c r="B11" i="5" s="1"/>
  <c r="C10" i="5"/>
  <c r="D10" i="5" s="1"/>
  <c r="A10" i="5"/>
  <c r="B10" i="5" s="1"/>
  <c r="C9" i="5"/>
  <c r="D9" i="5" s="1"/>
  <c r="A9" i="5"/>
  <c r="B9" i="5" s="1"/>
  <c r="C8" i="5"/>
  <c r="D8" i="5" s="1"/>
  <c r="A8" i="5"/>
  <c r="B8" i="5" s="1"/>
  <c r="C7" i="5"/>
  <c r="D7" i="5" s="1"/>
  <c r="A7" i="5"/>
  <c r="B7" i="5" s="1"/>
  <c r="C6" i="5"/>
  <c r="D6" i="5" s="1"/>
  <c r="A6" i="5"/>
  <c r="B6" i="5" s="1"/>
  <c r="C5" i="5"/>
  <c r="D5" i="5" s="1"/>
  <c r="A5" i="5"/>
  <c r="B5" i="5" s="1"/>
  <c r="C4" i="5"/>
  <c r="D4" i="5" s="1"/>
  <c r="A4" i="5"/>
  <c r="B4" i="5" s="1"/>
  <c r="C3" i="5"/>
  <c r="D3" i="5" s="1"/>
  <c r="A3" i="5"/>
  <c r="B3" i="5" s="1"/>
  <c r="C2" i="5"/>
  <c r="D2" i="5" s="1"/>
  <c r="A2" i="5"/>
  <c r="B2" i="5" s="1"/>
  <c r="C1" i="5"/>
  <c r="D1" i="5" s="1"/>
  <c r="A1" i="5"/>
  <c r="B1" i="5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  <c r="E2" i="5" l="1"/>
  <c r="E10" i="5"/>
  <c r="E4" i="5"/>
  <c r="E12" i="5"/>
  <c r="E7" i="5"/>
  <c r="E9" i="5"/>
  <c r="E1" i="5"/>
  <c r="E8" i="5"/>
  <c r="E3" i="5"/>
  <c r="E6" i="5"/>
  <c r="E5" i="5"/>
  <c r="E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<sst xmlns="http://schemas.openxmlformats.org/spreadsheetml/2006/main" count="12084" uniqueCount="527">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</sst>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2</xdr:row>
          <xdr:rowOff>88900</xdr:rowOff>
        </xdr:from>
        <xdr:to>
          <xdr:col>7</xdr:col>
          <xdr:colOff>787400</xdr:colOff>
          <xdr:row>4</xdr:row>
          <xdr:rowOff>88900</xdr:rowOff>
        </xdr:to>
        <xdr:sp macro="" textlink="">
          <xdr:nvSpPr>
            <xdr:cNvPr id="3073" name="Button 1" descr="Run Analysis for All Stock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50800</xdr:rowOff>
        </xdr:from>
        <xdr:to>
          <xdr:col>8</xdr:col>
          <xdr:colOff>12700</xdr:colOff>
          <xdr:row>14</xdr:row>
          <xdr:rowOff>50800</xdr:rowOff>
        </xdr:to>
        <xdr:sp macro="" textlink="">
          <xdr:nvSpPr>
            <xdr:cNvPr id="3074" name="Button 2" descr="Run Analysis for All Stock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127000</xdr:rowOff>
        </xdr:from>
        <xdr:to>
          <xdr:col>7</xdr:col>
          <xdr:colOff>292100</xdr:colOff>
          <xdr:row>5</xdr:row>
          <xdr:rowOff>127000</xdr:rowOff>
        </xdr:to>
        <xdr:sp macro="" textlink="">
          <xdr:nvSpPr>
            <xdr:cNvPr id="4098" name="Button 2" descr="Run Analysis for All Stoc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12</xdr:row>
          <xdr:rowOff>177800</xdr:rowOff>
        </xdr:from>
        <xdr:to>
          <xdr:col>7</xdr:col>
          <xdr:colOff>266700</xdr:colOff>
          <xdr:row>14</xdr:row>
          <xdr:rowOff>177800</xdr:rowOff>
        </xdr:to>
        <xdr:sp macro="" textlink="">
          <xdr:nvSpPr>
            <xdr:cNvPr id="4099" name="Button 3" descr="Run Analysis for All Stock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6</xdr:row>
          <xdr:rowOff>38100</xdr:rowOff>
        </xdr:from>
        <xdr:to>
          <xdr:col>7</xdr:col>
          <xdr:colOff>279400</xdr:colOff>
          <xdr:row>8</xdr:row>
          <xdr:rowOff>38100</xdr:rowOff>
        </xdr:to>
        <xdr:sp macro="" textlink="">
          <xdr:nvSpPr>
            <xdr:cNvPr id="4100" name="Button 4" descr="Run Analysis for All Stoc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393700</xdr:colOff>
          <xdr:row>4</xdr:row>
          <xdr:rowOff>25400</xdr:rowOff>
        </xdr:from>
        <xdr:to>
          <xdr:col>10</xdr:col>
          <xdr:colOff>266700</xdr:colOff>
          <xdr:row>6</xdr:row>
          <xdr:rowOff>25400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" sqref="A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defaultColWidth="8.81640625" defaultRowHeight="14.5" x14ac:dyDescent="0.35"/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>
      <selection activeCell="H20" sqref="H20"/>
    </sheetView>
  </sheetViews>
  <sheetFormatPr defaultColWidth="10.90625" defaultRowHeight="14.5" x14ac:dyDescent="0.35"/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 altText="Run Analysis for All Stocks">
                <anchor moveWithCells="1" sizeWithCells="1">
                  <from>
                    <xdr:col>4</xdr:col>
                    <xdr:colOff>774700</xdr:colOff>
                    <xdr:row>2</xdr:row>
                    <xdr:rowOff>88900</xdr:rowOff>
                  </from>
                  <to>
                    <xdr:col>7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 altText="Run Analysis for All Stocks">
                <anchor moveWithCells="1" sizeWithCells="1">
                  <from>
                    <xdr:col>5</xdr:col>
                    <xdr:colOff>0</xdr:colOff>
                    <xdr:row>12</xdr:row>
                    <xdr:rowOff>50800</xdr:rowOff>
                  </from>
                  <to>
                    <xdr:col>8</xdr:col>
                    <xdr:colOff>12700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C15"/>
  <sheetViews>
    <sheetView tabSelected="1" workbookViewId="0">
      <selection activeCell="G16" sqref="G16"/>
    </sheetView>
  </sheetViews>
  <sheetFormatPr defaultColWidth="10.90625" defaultRowHeight="14.5" x14ac:dyDescent="0.35"/>
  <cols>
    <col min="2" max="2" width="15.6328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5">
        <v>-7.2847634553909302E-2</v>
      </c>
    </row>
    <row r="5" spans="1:3" x14ac:dyDescent="0.35">
      <c r="A5" t="s">
        <v>9</v>
      </c>
      <c r="B5" s="3">
        <v>200879900</v>
      </c>
      <c r="C5" s="5">
        <v>-0.16336052119731903</v>
      </c>
    </row>
    <row r="6" spans="1:3" x14ac:dyDescent="0.35">
      <c r="A6" t="s">
        <v>10</v>
      </c>
      <c r="B6" s="3">
        <v>107873900</v>
      </c>
      <c r="C6" s="5">
        <v>-0.62601888179779053</v>
      </c>
    </row>
    <row r="7" spans="1:3" x14ac:dyDescent="0.35">
      <c r="A7" t="s">
        <v>11</v>
      </c>
      <c r="B7" s="3">
        <v>607473500</v>
      </c>
      <c r="C7" s="4">
        <v>0.81923085451126099</v>
      </c>
    </row>
    <row r="8" spans="1:3" x14ac:dyDescent="0.35">
      <c r="A8" t="s">
        <v>12</v>
      </c>
      <c r="B8" s="3">
        <v>478113900</v>
      </c>
      <c r="C8" s="5">
        <v>-0.39713191986083984</v>
      </c>
    </row>
    <row r="9" spans="1:3" x14ac:dyDescent="0.35">
      <c r="A9" t="s">
        <v>13</v>
      </c>
      <c r="B9" s="3">
        <v>104340600</v>
      </c>
      <c r="C9" s="5">
        <v>-0.20658062398433685</v>
      </c>
    </row>
    <row r="10" spans="1:3" x14ac:dyDescent="0.35">
      <c r="A10" t="s">
        <v>14</v>
      </c>
      <c r="B10" s="3">
        <v>158309000</v>
      </c>
      <c r="C10" s="5">
        <v>-0.6053471565246582</v>
      </c>
    </row>
    <row r="11" spans="1:3" x14ac:dyDescent="0.35">
      <c r="A11" t="s">
        <v>15</v>
      </c>
      <c r="B11" s="3">
        <v>502757100</v>
      </c>
      <c r="C11" s="4">
        <v>0.83952707052230835</v>
      </c>
    </row>
    <row r="12" spans="1:3" x14ac:dyDescent="0.35">
      <c r="A12" t="s">
        <v>16</v>
      </c>
      <c r="B12" s="3">
        <v>237212300</v>
      </c>
      <c r="C12" s="5">
        <v>-7.7529586851596832E-2</v>
      </c>
    </row>
    <row r="13" spans="1:3" x14ac:dyDescent="0.35">
      <c r="A13" t="s">
        <v>17</v>
      </c>
      <c r="B13" s="3">
        <v>538024300</v>
      </c>
      <c r="C13" s="5">
        <v>-0.44593092799186707</v>
      </c>
    </row>
    <row r="14" spans="1:3" x14ac:dyDescent="0.35">
      <c r="A14" t="s">
        <v>18</v>
      </c>
      <c r="B14" s="3">
        <v>151434700</v>
      </c>
      <c r="C14" s="5">
        <v>-4.9957673996686935E-2</v>
      </c>
    </row>
    <row r="15" spans="1:3" x14ac:dyDescent="0.3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 altText="Run Analysis for All Stocks">
                <anchor moveWithCells="1" sizeWithCells="1">
                  <from>
                    <xdr:col>4</xdr:col>
                    <xdr:colOff>279400</xdr:colOff>
                    <xdr:row>3</xdr:row>
                    <xdr:rowOff>127000</xdr:rowOff>
                  </from>
                  <to>
                    <xdr:col>7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 altText="Run Analysis for All Stocks">
                <anchor moveWithCells="1" sizeWithCells="1">
                  <from>
                    <xdr:col>4</xdr:col>
                    <xdr:colOff>254000</xdr:colOff>
                    <xdr:row>12</xdr:row>
                    <xdr:rowOff>177800</xdr:rowOff>
                  </from>
                  <to>
                    <xdr:col>7</xdr:col>
                    <xdr:colOff>266700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Run Analysis for All Stocks">
                <anchor moveWithCells="1" siz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7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393700</xdr:colOff>
                    <xdr:row>4</xdr:row>
                    <xdr:rowOff>25400</xdr:rowOff>
                  </from>
                  <to>
                    <xdr:col>10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3794-68BE-E941-B19D-0379604C7906}">
  <sheetPr codeName="Sheet5"/>
  <dimension ref="A1:E12"/>
  <sheetViews>
    <sheetView workbookViewId="0"/>
  </sheetViews>
  <sheetFormatPr defaultColWidth="10.90625" defaultRowHeight="14.5" x14ac:dyDescent="0.35"/>
  <sheetData>
    <row r="1" spans="1:5" x14ac:dyDescent="0.35">
      <c r="A1">
        <f>_xlfn.MINIFS('2018'!I:I,'2018'!A:A,AllStocksAnalysis!A4)</f>
        <v>43102</v>
      </c>
      <c r="B1">
        <f>_xlfn.XLOOKUP(_xlfn.CONCAT(AllStocksAnalysis!A4,A1),'2018'!J:J,'2018'!F:F,"nf",0)</f>
        <v>21.139999</v>
      </c>
      <c r="C1">
        <f>_xlfn.MAXIFS('2018'!I:I,'2018'!A:A,AllStocksAnalysis!A4)</f>
        <v>43465</v>
      </c>
      <c r="D1">
        <f>_xlfn.XLOOKUP(_xlfn.CONCAT(AllStocksAnalysis!A4,C1),'2018'!J:J,'2018'!F:F,"nf",0)</f>
        <v>19.600000000000001</v>
      </c>
      <c r="E1">
        <f t="shared" ref="E1:E12" si="0">D1/B1-1</f>
        <v>-7.2847638261477554E-2</v>
      </c>
    </row>
    <row r="2" spans="1:5" x14ac:dyDescent="0.35">
      <c r="A2">
        <f>_xlfn.MINIFS('2018'!I:I,'2018'!A:A,AllStocksAnalysis!A5)</f>
        <v>43102</v>
      </c>
      <c r="B2">
        <f>_xlfn.XLOOKUP(_xlfn.CONCAT(AllStocksAnalysis!A5,A2),'2018'!J:J,'2018'!F:F,"nf",0)</f>
        <v>17.139999</v>
      </c>
      <c r="C2">
        <f>_xlfn.MAXIFS('2018'!I:I,'2018'!A:A,AllStocksAnalysis!A5)</f>
        <v>43465</v>
      </c>
      <c r="D2">
        <f>_xlfn.XLOOKUP(_xlfn.CONCAT(AllStocksAnalysis!A5,C2),'2018'!J:J,'2018'!F:F,"nf",0)</f>
        <v>14.34</v>
      </c>
      <c r="E2">
        <f t="shared" si="0"/>
        <v>-0.1633605112812434</v>
      </c>
    </row>
    <row r="3" spans="1:5" x14ac:dyDescent="0.35">
      <c r="A3">
        <f>_xlfn.MINIFS('2018'!I:I,'2018'!A:A,AllStocksAnalysis!A6)</f>
        <v>43102</v>
      </c>
      <c r="B3">
        <f>_xlfn.XLOOKUP(_xlfn.CONCAT(AllStocksAnalysis!A6,A3),'2018'!J:J,'2018'!F:F,"nf",0)</f>
        <v>62.57</v>
      </c>
      <c r="C3">
        <f>_xlfn.MAXIFS('2018'!I:I,'2018'!A:A,AllStocksAnalysis!A6)</f>
        <v>43465</v>
      </c>
      <c r="D3">
        <f>_xlfn.XLOOKUP(_xlfn.CONCAT(AllStocksAnalysis!A6,C3),'2018'!J:J,'2018'!F:F,"nf",0)</f>
        <v>23.4</v>
      </c>
      <c r="E3">
        <f t="shared" si="0"/>
        <v>-0.62601885887805664</v>
      </c>
    </row>
    <row r="4" spans="1:5" x14ac:dyDescent="0.35">
      <c r="A4">
        <f>_xlfn.MINIFS('2018'!I:I,'2018'!A:A,AllStocksAnalysis!A7)</f>
        <v>43102</v>
      </c>
      <c r="B4">
        <f>_xlfn.XLOOKUP(_xlfn.CONCAT(AllStocksAnalysis!A7,A4),'2018'!J:J,'2018'!F:F,"nf",0)</f>
        <v>2.6</v>
      </c>
      <c r="C4">
        <f>_xlfn.MAXIFS('2018'!I:I,'2018'!A:A,AllStocksAnalysis!A7)</f>
        <v>43465</v>
      </c>
      <c r="D4">
        <f>_xlfn.XLOOKUP(_xlfn.CONCAT(AllStocksAnalysis!A7,C4),'2018'!J:J,'2018'!F:F,"nf",0)</f>
        <v>4.7300000000000004</v>
      </c>
      <c r="E4">
        <f t="shared" si="0"/>
        <v>0.81923076923076943</v>
      </c>
    </row>
    <row r="5" spans="1:5" x14ac:dyDescent="0.35">
      <c r="A5">
        <f>_xlfn.MINIFS('2018'!I:I,'2018'!A:A,AllStocksAnalysis!A8)</f>
        <v>43102</v>
      </c>
      <c r="B5">
        <f>_xlfn.XLOOKUP(_xlfn.CONCAT(AllStocksAnalysis!A8,A5),'2018'!J:J,'2018'!F:F,"nf",0)</f>
        <v>70.430000000000007</v>
      </c>
      <c r="C5">
        <f>_xlfn.MAXIFS('2018'!I:I,'2018'!A:A,AllStocksAnalysis!A8)</f>
        <v>43465</v>
      </c>
      <c r="D5">
        <f>_xlfn.XLOOKUP(_xlfn.CONCAT(AllStocksAnalysis!A8,C5),'2018'!J:J,'2018'!F:F,"nf",0)</f>
        <v>42.459999000000003</v>
      </c>
      <c r="E5">
        <f t="shared" si="0"/>
        <v>-0.39713191821666904</v>
      </c>
    </row>
    <row r="6" spans="1:5" x14ac:dyDescent="0.35">
      <c r="A6">
        <f>_xlfn.MINIFS('2018'!I:I,'2018'!A:A,AllStocksAnalysis!A9)</f>
        <v>43102</v>
      </c>
      <c r="B6">
        <f>_xlfn.XLOOKUP(_xlfn.CONCAT(AllStocksAnalysis!A9,A6),'2018'!J:J,'2018'!F:F,"nf",0)</f>
        <v>24.01</v>
      </c>
      <c r="C6">
        <f>_xlfn.MAXIFS('2018'!I:I,'2018'!A:A,AllStocksAnalysis!A9)</f>
        <v>43465</v>
      </c>
      <c r="D6">
        <f>_xlfn.XLOOKUP(_xlfn.CONCAT(AllStocksAnalysis!A9,C6),'2018'!J:J,'2018'!F:F,"nf",0)</f>
        <v>19.049999</v>
      </c>
      <c r="E6">
        <f t="shared" si="0"/>
        <v>-0.20658063306955443</v>
      </c>
    </row>
    <row r="7" spans="1:5" x14ac:dyDescent="0.35">
      <c r="A7">
        <f>_xlfn.MINIFS('2018'!I:I,'2018'!A:A,AllStocksAnalysis!A10)</f>
        <v>43102</v>
      </c>
      <c r="B7">
        <f>_xlfn.XLOOKUP(_xlfn.CONCAT(AllStocksAnalysis!A10,A7),'2018'!J:J,'2018'!F:F,"nf",0)</f>
        <v>25.059999000000001</v>
      </c>
      <c r="C7">
        <f>_xlfn.MAXIFS('2018'!I:I,'2018'!A:A,AllStocksAnalysis!A10)</f>
        <v>43465</v>
      </c>
      <c r="D7">
        <f>_xlfn.XLOOKUP(_xlfn.CONCAT(AllStocksAnalysis!A10,C7),'2018'!J:J,'2018'!F:F,"nf",0)</f>
        <v>9.89</v>
      </c>
      <c r="E7">
        <f t="shared" si="0"/>
        <v>-0.60534715105136283</v>
      </c>
    </row>
    <row r="8" spans="1:5" x14ac:dyDescent="0.35">
      <c r="A8">
        <f>_xlfn.MINIFS('2018'!I:I,'2018'!A:A,AllStocksAnalysis!A11)</f>
        <v>43102</v>
      </c>
      <c r="B8">
        <f>_xlfn.XLOOKUP(_xlfn.CONCAT(AllStocksAnalysis!A11,A8),'2018'!J:J,'2018'!F:F,"nf",0)</f>
        <v>5.92</v>
      </c>
      <c r="C8">
        <f>_xlfn.MAXIFS('2018'!I:I,'2018'!A:A,AllStocksAnalysis!A11)</f>
        <v>43465</v>
      </c>
      <c r="D8">
        <f>_xlfn.XLOOKUP(_xlfn.CONCAT(AllStocksAnalysis!A11,C8),'2018'!J:J,'2018'!F:F,"nf",0)</f>
        <v>10.89</v>
      </c>
      <c r="E8">
        <f t="shared" si="0"/>
        <v>0.8395270270270272</v>
      </c>
    </row>
    <row r="9" spans="1:5" x14ac:dyDescent="0.35">
      <c r="A9">
        <f>_xlfn.MINIFS('2018'!I:I,'2018'!A:A,AllStocksAnalysis!A12)</f>
        <v>43102</v>
      </c>
      <c r="B9">
        <f>_xlfn.XLOOKUP(_xlfn.CONCAT(AllStocksAnalysis!A12,A9),'2018'!J:J,'2018'!F:F,"nf",0)</f>
        <v>38.049999</v>
      </c>
      <c r="C9">
        <f>_xlfn.MAXIFS('2018'!I:I,'2018'!A:A,AllStocksAnalysis!A12)</f>
        <v>43465</v>
      </c>
      <c r="D9">
        <f>_xlfn.XLOOKUP(_xlfn.CONCAT(AllStocksAnalysis!A12,C9),'2018'!J:J,'2018'!F:F,"nf",0)</f>
        <v>35.099997999999999</v>
      </c>
      <c r="E9">
        <f t="shared" si="0"/>
        <v>-7.7529594678833025E-2</v>
      </c>
    </row>
    <row r="10" spans="1:5" x14ac:dyDescent="0.35">
      <c r="A10">
        <f>_xlfn.MINIFS('2018'!I:I,'2018'!A:A,AllStocksAnalysis!A13)</f>
        <v>43102</v>
      </c>
      <c r="B10">
        <f>_xlfn.XLOOKUP(_xlfn.CONCAT(AllStocksAnalysis!A13,A10),'2018'!J:J,'2018'!F:F,"nf",0)</f>
        <v>8.9700000000000006</v>
      </c>
      <c r="C10">
        <f>_xlfn.MAXIFS('2018'!I:I,'2018'!A:A,AllStocksAnalysis!A13)</f>
        <v>43465</v>
      </c>
      <c r="D10">
        <f>_xlfn.XLOOKUP(_xlfn.CONCAT(AllStocksAnalysis!A13,C10),'2018'!J:J,'2018'!F:F,"nf",0)</f>
        <v>4.97</v>
      </c>
      <c r="E10">
        <f t="shared" si="0"/>
        <v>-0.44593088071348952</v>
      </c>
    </row>
    <row r="11" spans="1:5" x14ac:dyDescent="0.35">
      <c r="A11">
        <f>_xlfn.MINIFS('2018'!I:I,'2018'!A:A,AllStocksAnalysis!A14)</f>
        <v>43102</v>
      </c>
      <c r="B11">
        <f>_xlfn.XLOOKUP(_xlfn.CONCAT(AllStocksAnalysis!A14,A11),'2018'!J:J,'2018'!F:F,"nf",0)</f>
        <v>11.81</v>
      </c>
      <c r="C11">
        <f>_xlfn.MAXIFS('2018'!I:I,'2018'!A:A,AllStocksAnalysis!A14)</f>
        <v>43465</v>
      </c>
      <c r="D11">
        <f>_xlfn.XLOOKUP(_xlfn.CONCAT(AllStocksAnalysis!A14,C11),'2018'!J:J,'2018'!F:F,"nf",0)</f>
        <v>11.22</v>
      </c>
      <c r="E11">
        <f t="shared" si="0"/>
        <v>-4.995766299745974E-2</v>
      </c>
    </row>
    <row r="12" spans="1:5" x14ac:dyDescent="0.35">
      <c r="A12">
        <f>_xlfn.MINIFS('2018'!I:I,'2018'!A:A,AllStocksAnalysis!A15)</f>
        <v>43102</v>
      </c>
      <c r="B12">
        <f>_xlfn.XLOOKUP(_xlfn.CONCAT(AllStocksAnalysis!A15,A12),'2018'!J:J,'2018'!F:F,"nf",0)</f>
        <v>3.95</v>
      </c>
      <c r="C12">
        <f>_xlfn.MAXIFS('2018'!I:I,'2018'!A:A,AllStocksAnalysis!A15)</f>
        <v>43465</v>
      </c>
      <c r="D12">
        <f>_xlfn.XLOOKUP(_xlfn.CONCAT(AllStocksAnalysis!A15,C12),'2018'!J:J,'2018'!F:F,"nf",0)</f>
        <v>3.81</v>
      </c>
      <c r="E12">
        <f t="shared" si="0"/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AllStocksAnalysis</vt:lpstr>
      <vt:lpstr>Alt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Skidmore</dc:creator>
  <cp:lastModifiedBy>Rachel Skidmore</cp:lastModifiedBy>
  <dcterms:created xsi:type="dcterms:W3CDTF">2019-05-02T20:23:55Z</dcterms:created>
  <dcterms:modified xsi:type="dcterms:W3CDTF">2022-05-11T22:18:58Z</dcterms:modified>
</cp:coreProperties>
</file>